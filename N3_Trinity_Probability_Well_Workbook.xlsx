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7f38a11e74d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daca9765c144bd"/>
    <x:sheet xmlns:r="http://schemas.openxmlformats.org/officeDocument/2006/relationships" name="Validation_Summary" sheetId="2" r:id="R4bba260a6e6c45bc"/>
    <x:sheet xmlns:r="http://schemas.openxmlformats.org/officeDocument/2006/relationships" name="Symbol_Governance" sheetId="3" r:id="Re8d67ac170314b36"/>
    <x:sheet xmlns:r="http://schemas.openxmlformats.org/officeDocument/2006/relationships" name="Equation_Register" sheetId="4" r:id="R24ad68013c0d4fa2"/>
    <x:sheet xmlns:r="http://schemas.openxmlformats.org/officeDocument/2006/relationships" name="Dimensional_Audit" sheetId="5" r:id="R9e7b248116144fd7"/>
    <x:sheet xmlns:r="http://schemas.openxmlformats.org/officeDocument/2006/relationships" name="Correspondence" sheetId="6" r:id="Rd1d61ce23b344e49"/>
    <x:sheet xmlns:r="http://schemas.openxmlformats.org/officeDocument/2006/relationships" name="Falsification" sheetId="7" r:id="Rb8eb2cfca23244fe"/>
    <x:sheet xmlns:r="http://schemas.openxmlformats.org/officeDocument/2006/relationships" name="Claim_Evidence" sheetId="8" r:id="R1be14167d0884367"/>
    <x:sheet xmlns:r="http://schemas.openxmlformats.org/officeDocument/2006/relationships" name="Citation_Register" sheetId="9" r:id="Re77265605a4f406d"/>
    <x:sheet xmlns:r="http://schemas.openxmlformats.org/officeDocument/2006/relationships" name="Handoff_Gaps" sheetId="10" r:id="Rb509cbed44a1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809e1dbc0240c4" /><Relationship Type="http://schemas.openxmlformats.org/officeDocument/2006/relationships/theme" Target="/xl/theme/theme1.xml" Id="R001d9d79e3894731" /><Relationship Type="http://schemas.openxmlformats.org/officeDocument/2006/relationships/sharedStrings" Target="/xl/sharedStrings.xml" Id="R519381bd1dc04e86" /><Relationship Type="http://schemas.openxmlformats.org/officeDocument/2006/relationships/worksheet" Target="/xl/worksheets/sheet1.xml" Id="Rbadaca9765c144bd" /><Relationship Type="http://schemas.openxmlformats.org/officeDocument/2006/relationships/worksheet" Target="/xl/worksheets/sheet2.xml" Id="R4bba260a6e6c45bc" /><Relationship Type="http://schemas.openxmlformats.org/officeDocument/2006/relationships/worksheet" Target="/xl/worksheets/sheet3.xml" Id="Re8d67ac170314b36" /><Relationship Type="http://schemas.openxmlformats.org/officeDocument/2006/relationships/worksheet" Target="/xl/worksheets/sheet4.xml" Id="R24ad68013c0d4fa2" /><Relationship Type="http://schemas.openxmlformats.org/officeDocument/2006/relationships/worksheet" Target="/xl/worksheets/sheet5.xml" Id="R9e7b248116144fd7" /><Relationship Type="http://schemas.openxmlformats.org/officeDocument/2006/relationships/worksheet" Target="/xl/worksheets/sheet6.xml" Id="Rd1d61ce23b344e49" /><Relationship Type="http://schemas.openxmlformats.org/officeDocument/2006/relationships/worksheet" Target="/xl/worksheets/sheet7.xml" Id="Rb8eb2cfca23244fe" /><Relationship Type="http://schemas.openxmlformats.org/officeDocument/2006/relationships/worksheet" Target="/xl/worksheets/sheet8.xml" Id="R1be14167d0884367" /><Relationship Type="http://schemas.openxmlformats.org/officeDocument/2006/relationships/worksheet" Target="/xl/worksheets/sheet9.xml" Id="Re77265605a4f406d" /><Relationship Type="http://schemas.openxmlformats.org/officeDocument/2006/relationships/worksheet" Target="/xl/worksheets/sheet10.xml" Id="Rb509cbed44a14de4" /></Relationships>
</file>

<file path=xl/tables/table1.xml><?xml version="1.0" encoding="utf-8"?>
<x:table xmlns:x="http://schemas.openxmlformats.org/spreadsheetml/2006/main" id="1" name="LockedFacts" displayName="LockedFacts" ref="A3:B13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ValidationSummary" displayName="ValidationSummary" ref="A3:B22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ymbolGovernance" displayName="SymbolGovernance" ref="A3:G16" headerRowCount="1">
  <x:tableColumns count="7">
    <x:tableColumn id="1" name="Symbol"/>
    <x:tableColumn id="2" name="Canonical TPW meaning"/>
    <x:tableColumn id="3" name="Domain"/>
    <x:tableColumn id="4" name="Dimensional class"/>
    <x:tableColumn id="5" name="Allowed contexts"/>
    <x:tableColumn id="6" name="Prohibited reuse / risk"/>
    <x:tableColumn id="7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EquationRegister" displayName="EquationRegister" ref="A3:G14" headerRowCount="1">
  <x:tableColumns count="7">
    <x:tableColumn id="1" name="Eq ID"/>
    <x:tableColumn id="2" name="Name"/>
    <x:tableColumn id="3" name="Equation"/>
    <x:tableColumn id="4" name="Variables"/>
    <x:tableColumn id="5" name="Proof class"/>
    <x:tableColumn id="6" name="Dimensional status"/>
    <x:tableColumn id="7" name="Claim status"/>
  </x:tableColumns>
  <x:tableStyleInfo name="TableStyleMedium2" showRowStripes="1"/>
</x:table>
</file>

<file path=xl/tables/table5.xml><?xml version="1.0" encoding="utf-8"?>
<x:table xmlns:x="http://schemas.openxmlformats.org/spreadsheetml/2006/main" id="5" name="DimensionalAudit" displayName="DimensionalAudit" ref="A3:E12" headerRowCount="1">
  <x:tableColumns count="5">
    <x:tableColumn id="1" name="Item"/>
    <x:tableColumn id="2" name="Equation / Symbol"/>
    <x:tableColumn id="3" name="Dimensional class"/>
    <x:tableColumn id="4" name="Audit result"/>
    <x:tableColumn id="5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orrespondenceMatrix" displayName="CorrespondenceMatrix" ref="A3:H14" headerRowCount="1">
  <x:tableColumns count="8">
    <x:tableColumn id="1" name="Construct"/>
    <x:tableColumn id="2" name="Exact TPW theorem"/>
    <x:tableColumn id="3" name="Derived result"/>
    <x:tableColumn id="4" name="Computational verification"/>
    <x:tableColumn id="5" name="Geometric visualization"/>
    <x:tableColumn id="6" name="Analogy/correspondence"/>
    <x:tableColumn id="7" name="Physical hypothesis"/>
    <x:tableColumn id="8" name="Current class"/>
  </x:tableColumns>
  <x:tableStyleInfo name="TableStyleMedium2" showRowStripes="1"/>
</x:table>
</file>

<file path=xl/tables/table7.xml><?xml version="1.0" encoding="utf-8"?>
<x:table xmlns:x="http://schemas.openxmlformats.org/spreadsheetml/2006/main" id="7" name="FalsificationRegister" displayName="FalsificationRegister" ref="A3:F12" headerRowCount="1">
  <x:tableColumns count="6">
    <x:tableColumn id="1" name="ID"/>
    <x:tableColumn id="2" name="Claim"/>
    <x:tableColumn id="3" name="Class"/>
    <x:tableColumn id="4" name="Falsification condition"/>
    <x:tableColumn id="5" name="Status"/>
    <x:tableColumn id="6" name="Confidence"/>
  </x:tableColumns>
  <x:tableStyleInfo name="TableStyleMedium2" showRowStripes="1"/>
</x:table>
</file>

<file path=xl/tables/table8.xml><?xml version="1.0" encoding="utf-8"?>
<x:table xmlns:x="http://schemas.openxmlformats.org/spreadsheetml/2006/main" id="8" name="ClaimEvidence" displayName="ClaimEvidence" ref="A3:G11" headerRowCount="1">
  <x:tableColumns count="7">
    <x:tableColumn id="1" name="Claim ID"/>
    <x:tableColumn id="2" name="Claim"/>
    <x:tableColumn id="3" name="Status"/>
    <x:tableColumn id="4" name="Proof class"/>
    <x:tableColumn id="5" name="Primary evidence"/>
    <x:tableColumn id="6" name="Citation status"/>
    <x:tableColumn id="7" name="Confidence"/>
  </x:tableColumns>
  <x:tableStyleInfo name="TableStyleMedium2" showRowStripes="1"/>
</x:table>
</file>

<file path=xl/tables/table9.xml><?xml version="1.0" encoding="utf-8"?>
<x:table xmlns:x="http://schemas.openxmlformats.org/spreadsheetml/2006/main" id="9" name="CitationRegister" displayName="CitationRegister" ref="A3:F11" headerRowCount="1">
  <x:tableColumns count="6">
    <x:tableColumn id="1" name="Citation ID"/>
    <x:tableColumn id="2" name="Source / Author"/>
    <x:tableColumn id="3" name="Supports"/>
    <x:tableColumn id="4" name="Claim IDs"/>
    <x:tableColumn id="5" name="Page / Section status"/>
    <x:tableColumn id="6" name="Verification status"/>
  </x:tableColumns>
  <x:tableStyleInfo name="TableStyleMedium2" showRowStripes="1"/>
</x:table>
</file>

<file path=xl/tables/table10.xml><?xml version="1.0" encoding="utf-8"?>
<x:table xmlns:x="http://schemas.openxmlformats.org/spreadsheetml/2006/main" id="10" name="HandoffGaps" displayName="HandoffGaps" ref="A3:D11" headerRowCount="1">
  <x:tableColumns count="4">
    <x:tableColumn id="1" name="Gap"/>
    <x:tableColumn id="2" name="Status"/>
    <x:tableColumn id="3" name="Priority"/>
    <x:tableColumn id="4" name="Manual or next proof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00e7b9b0be4b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9eb3afd17c4e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45e76c2eda48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e3255f0e8bd41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36e45f737b4d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f3ae0dc7b942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6840476e7b04d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195eb85b0714b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3acc047b1e641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09c0f148b5341a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4" max="4" width="30" hidden="0" customWidth="1"/>
    <x:col min="5" max="5" width="30" hidden="0" customWidth="1"/>
  </x:cols>
  <x:sheetData>
    <x:row r="1" ht="24" customHeight="1">
      <x:c r="A1" s="5" t="str">
        <x:v>N3 Trinity Probability Well — v1_1 Governance Dashboard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Metric</x:v>
      </x:c>
      <x:c r="B3" s="22" t="str">
        <x:v>Value</x:v>
      </x:c>
      <x:c r="D3" s="18" t="str">
        <x:v>Control Metric</x:v>
      </x:c>
      <x:c r="E3" s="18" t="str">
        <x:v>Formula / Value</x:v>
      </x:c>
    </x:row>
    <x:row r="4">
      <x:c r="A4" s="23" t="str">
        <x:v>Sum-state triples</x:v>
      </x:c>
      <x:c r="B4" s="23" t="n">
        <x:v>1331</x:v>
      </x:c>
      <x:c r="D4" s="19" t="str">
        <x:v>Open proof gaps</x:v>
      </x:c>
      <x:c r="E4" s="19" t="n">
        <x:f>COUNTIF(Handoff_Gaps!B2:B20,"OPEN")+COUNTIF(Handoff_Gaps!B2:B20,"UNPROVEN")+COUNTIF(Handoff_Gaps!B2:B20,"UNVALIDATED")</x:f>
        <x:v>4</x:v>
      </x:c>
    </x:row>
    <x:row r="5">
      <x:c r="A5" s="23" t="str">
        <x:v>Expected row count</x:v>
      </x:c>
      <x:c r="B5" s="23" t="n">
        <x:v>1331</x:v>
      </x:c>
      <x:c r="D5" s="19" t="str">
        <x:v>Unsupported Raphael symbols</x:v>
      </x:c>
      <x:c r="E5" s="19" t="n">
        <x:f>COUNTIF(Symbol_Governance!G2:G50,"UNSUPPORTED")</x:f>
        <x:v>3</x:v>
      </x:c>
    </x:row>
    <x:row r="6">
      <x:c r="A6" s="23" t="str">
        <x:v>Primitive ordered outcomes</x:v>
      </x:c>
      <x:c r="B6" s="23" t="n">
        <x:v>46656</x:v>
      </x:c>
      <x:c r="D6" s="19" t="str">
        <x:v>Unproven correspondence rows</x:v>
      </x:c>
      <x:c r="E6" s="19" t="n">
        <x:f>COUNTIF(Correspondence!H2:H50,"P5")</x:f>
        <x:v>5</x:v>
      </x:c>
    </x:row>
    <x:row r="7">
      <x:c r="A7" s="23" t="str">
        <x:v>Joint probability sum</x:v>
      </x:c>
      <x:c r="B7" s="23" t="str">
        <x:v>1/1</x:v>
      </x:c>
      <x:c r="D7" s="19" t="str">
        <x:v>Locked core claims</x:v>
      </x:c>
      <x:c r="E7" s="19" t="n">
        <x:f>COUNTIF(Claim_Evidence!C2:C50,"LOCKED")</x:f>
        <x:v>3</x:v>
      </x:c>
    </x:row>
    <x:row r="8">
      <x:c r="A8" s="23" t="str">
        <x:v>Max probability</x:v>
      </x:c>
      <x:c r="B8" s="23" t="str">
        <x:v>1/216</x:v>
      </x:c>
      <x:c r="D8" s="19" t="str">
        <x:v>Artifact build date</x:v>
      </x:c>
      <x:c r="E8" s="19" t="str">
        <x:v>2026-06-24</x:v>
      </x:c>
    </x:row>
    <x:row r="9">
      <x:c r="A9" s="23" t="str">
        <x:v>Max probability states</x:v>
      </x:c>
      <x:c r="B9" s="23" t="str">
        <x:v>(7, 7, 7)</x:v>
      </x:c>
      <x:c r="D9" s="19" t="str">
        <x:v>Next concrete action</x:v>
      </x:c>
      <x:c r="E9" s="19" t="str">
        <x:v>Commit/upload v1_1 package and page-lock citations</x:v>
      </x:c>
    </x:row>
    <x:row r="10">
      <x:c r="A10" s="23" t="str">
        <x:v>Min probability</x:v>
      </x:c>
      <x:c r="B10" s="23" t="str">
        <x:v>1/46656</x:v>
      </x:c>
    </x:row>
    <x:row r="11">
      <x:c r="A11" s="23" t="str">
        <x:v>Unique normalized points</x:v>
      </x:c>
      <x:c r="B11" s="23" t="n">
        <x:v>1141</x:v>
      </x:c>
    </x:row>
    <x:row r="12">
      <x:c r="A12" s="23" t="str">
        <x:v>Unique probability levels</x:v>
      </x:c>
      <x:c r="B12" s="23" t="n">
        <x:v>40</x:v>
      </x:c>
    </x:row>
    <x:row r="13">
      <x:c r="A13" s="23" t="str">
        <x:v>Unique geometric radii</x:v>
      </x:c>
      <x:c r="B13" s="23" t="n">
        <x:v>206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f00e7b9b0be4b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48" hidden="0" customWidth="1"/>
  </x:cols>
  <x:sheetData>
    <x:row r="1" ht="24" customHeight="1">
      <x:c r="A1" s="5" t="str">
        <x:v>Validation Summary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Metric</x:v>
      </x:c>
      <x:c r="B3" s="22" t="str">
        <x:v>Value</x:v>
      </x:c>
    </x:row>
    <x:row r="4">
      <x:c r="A4" s="23" t="str">
        <x:v>artifact</x:v>
      </x:c>
      <x:c r="B4" s="23" t="str">
        <x:v>N3_Trinity_Probability_Well_Master_Enumeration.csv</x:v>
      </x:c>
    </x:row>
    <x:row r="5">
      <x:c r="A5" s="23" t="str">
        <x:v>row_count</x:v>
      </x:c>
      <x:c r="B5" s="23" t="n">
        <x:v>1331</x:v>
      </x:c>
    </x:row>
    <x:row r="6">
      <x:c r="A6" s="23" t="str">
        <x:v>expected_row_count</x:v>
      </x:c>
      <x:c r="B6" s="23" t="n">
        <x:v>1331</x:v>
      </x:c>
    </x:row>
    <x:row r="7">
      <x:c r="A7" s="23" t="str">
        <x:v>raw_equally_likely_outcome_count</x:v>
      </x:c>
      <x:c r="B7" s="23" t="n">
        <x:v>46656</x:v>
      </x:c>
    </x:row>
    <x:row r="8">
      <x:c r="A8" s="23" t="str">
        <x:v>two_d6_weights</x:v>
      </x:c>
      <x:c r="B8" s="23" t="str">
        <x:v>{"2": 1, "3": 2, "4": 3, "5": 4, "6": 5, "7": 6, "8": 5, "9": 4, "10": 3, "11": 2, "12": 1}</x:v>
      </x:c>
    </x:row>
    <x:row r="9">
      <x:c r="A9" s="23" t="str">
        <x:v>two_d6_weight_sum</x:v>
      </x:c>
      <x:c r="B9" s="23" t="n">
        <x:v>36</x:v>
      </x:c>
    </x:row>
    <x:row r="10">
      <x:c r="A10" s="23" t="str">
        <x:v>joint_probability_sum_fraction</x:v>
      </x:c>
      <x:c r="B10" s="23" t="str">
        <x:v>1/1</x:v>
      </x:c>
    </x:row>
    <x:row r="11">
      <x:c r="A11" s="23" t="str">
        <x:v>joint_probability_sum_decimal</x:v>
      </x:c>
      <x:c r="B11" s="23" t="n">
        <x:v>1</x:v>
      </x:c>
    </x:row>
    <x:row r="12">
      <x:c r="A12" s="23" t="str">
        <x:v>max_probability_fraction</x:v>
      </x:c>
      <x:c r="B12" s="23" t="str">
        <x:v>1/216</x:v>
      </x:c>
    </x:row>
    <x:row r="13">
      <x:c r="A13" s="23" t="str">
        <x:v>max_probability_states</x:v>
      </x:c>
      <x:c r="B13" s="23" t="str">
        <x:v>["(7, 7, 7)"]</x:v>
      </x:c>
    </x:row>
    <x:row r="14">
      <x:c r="A14" s="23" t="str">
        <x:v>min_probability_fraction</x:v>
      </x:c>
      <x:c r="B14" s="23" t="str">
        <x:v>1/46656</x:v>
      </x:c>
    </x:row>
    <x:row r="15">
      <x:c r="A15" s="23" t="str">
        <x:v>min_probability_states_count</x:v>
      </x:c>
      <x:c r="B15" s="23" t="n">
        <x:v>8</x:v>
      </x:c>
    </x:row>
    <x:row r="16">
      <x:c r="A16" s="23" t="str">
        <x:v>geometric_center_states_count</x:v>
      </x:c>
      <x:c r="B16" s="23" t="n">
        <x:v>11</x:v>
      </x:c>
    </x:row>
    <x:row r="17">
      <x:c r="A17" s="23" t="str">
        <x:v>unique_normalized_points</x:v>
      </x:c>
      <x:c r="B17" s="23" t="n">
        <x:v>1141</x:v>
      </x:c>
    </x:row>
    <x:row r="18">
      <x:c r="A18" s="23" t="str">
        <x:v>unique_probability_levels</x:v>
      </x:c>
      <x:c r="B18" s="23" t="n">
        <x:v>40</x:v>
      </x:c>
    </x:row>
    <x:row r="19">
      <x:c r="A19" s="23" t="str">
        <x:v>unique_geometric_radii</x:v>
      </x:c>
      <x:c r="B19" s="23" t="n">
        <x:v>206</x:v>
      </x:c>
    </x:row>
    <x:row r="20">
      <x:c r="A20" s="23" t="str">
        <x:v>max_cartesian_distance_identity_error</x:v>
      </x:c>
      <x:c r="B20" s="23" t="n">
        <x:v>6.938893903907228e-17</x:v>
      </x:c>
    </x:row>
    <x:row r="21">
      <x:c r="A21" s="23" t="str">
        <x:v>max_closure_error</x:v>
      </x:c>
      <x:c r="B21" s="23" t="n">
        <x:v>0</x:v>
      </x:c>
    </x:row>
    <x:row r="22">
      <x:c r="A22" s="23" t="str">
        <x:v>permutation_orbit_distribution</x:v>
      </x:c>
      <x:c r="B22" s="23" t="str">
        <x:v>{"1": 11, "3": 330, "6": 990}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a9eb3afd17c4e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22" hidden="0" customWidth="1"/>
    <x:col min="4" max="4" width="22" hidden="0" customWidth="1"/>
    <x:col min="5" max="5" width="32" hidden="0" customWidth="1"/>
    <x:col min="6" max="6" width="32" hidden="0" customWidth="1"/>
    <x:col min="7" max="7" width="18" hidden="0" customWidth="1"/>
  </x:cols>
  <x:sheetData>
    <x:row r="1" ht="24" customHeight="1">
      <x:c r="A1" s="5" t="str">
        <x:v>RAP-001A Symbol Governance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Symbol</x:v>
      </x:c>
      <x:c r="B3" s="22" t="str">
        <x:v>Canonical TPW meaning</x:v>
      </x:c>
      <x:c r="C3" s="22" t="str">
        <x:v>Domain</x:v>
      </x:c>
      <x:c r="D3" s="22" t="str">
        <x:v>Dimensional class</x:v>
      </x:c>
      <x:c r="E3" s="22" t="str">
        <x:v>Allowed contexts</x:v>
      </x:c>
      <x:c r="F3" s="22" t="str">
        <x:v>Prohibited reuse / risk</x:v>
      </x:c>
      <x:c r="G3" s="22" t="str">
        <x:v>Status</x:v>
      </x:c>
    </x:row>
    <x:row r="4">
      <x:c r="A4" s="23" t="str">
        <x:v>Xi</x:v>
      </x:c>
      <x:c r="B4" s="23" t="str">
        <x:v>Sum of two fair six-sided dice for component i</x:v>
      </x:c>
      <x:c r="C4" s="23" t="str">
        <x:v>TPW probability</x:v>
      </x:c>
      <x:c r="D4" s="23" t="str">
        <x:v>Dimensionless integer</x:v>
      </x:c>
      <x:c r="E4" s="23" t="str">
        <x:v>Enumeration, product probability</x:v>
      </x:c>
      <x:c r="F4" s="23" t="str">
        <x:v>Continuous coordinate without declaration</x:v>
      </x:c>
      <x:c r="G4" s="23" t="str">
        <x:v>LOCKED</x:v>
      </x:c>
    </x:row>
    <x:row r="5">
      <x:c r="A5" s="23" t="str">
        <x:v>x=(x1,x2,x3)</x:v>
      </x:c>
      <x:c r="B5" s="23" t="str">
        <x:v>TPW sum-state triple</x:v>
      </x:c>
      <x:c r="C5" s="23" t="str">
        <x:v>TPW probability</x:v>
      </x:c>
      <x:c r="D5" s="23" t="str">
        <x:v>Dimensionless integer vector</x:v>
      </x:c>
      <x:c r="E5" s="23" t="str">
        <x:v>State-space rows</x:v>
      </x:c>
      <x:c r="F5" s="23" t="str">
        <x:v>Physical position vector</x:v>
      </x:c>
      <x:c r="G5" s="23" t="str">
        <x:v>LOCKED</x:v>
      </x:c>
    </x:row>
    <x:row r="6">
      <x:c r="A6" s="23" t="str">
        <x:v>k</x:v>
      </x:c>
      <x:c r="B6" s="23" t="str">
        <x:v>One-dimensional dice-sum value</x:v>
      </x:c>
      <x:c r="C6" s="23" t="str">
        <x:v>TPW probability</x:v>
      </x:c>
      <x:c r="D6" s="23" t="str">
        <x:v>Dimensionless integer</x:v>
      </x:c>
      <x:c r="E6" s="23" t="str">
        <x:v>k∈{2,...,12}</x:v>
      </x:c>
      <x:c r="F6" s="23" t="str">
        <x:v>Free continuous index</x:v>
      </x:c>
      <x:c r="G6" s="23" t="str">
        <x:v>LOCKED</x:v>
      </x:c>
    </x:row>
    <x:row r="7">
      <x:c r="A7" s="23" t="str">
        <x:v>W(k)</x:v>
      </x:c>
      <x:c r="B7" s="23" t="str">
        <x:v>Count of ordered 2d6 outcomes producing k</x:v>
      </x:c>
      <x:c r="C7" s="23" t="str">
        <x:v>TPW probability</x:v>
      </x:c>
      <x:c r="D7" s="23" t="str">
        <x:v>Count</x:v>
      </x:c>
      <x:c r="E7" s="23" t="str">
        <x:v>Weight vector, PMF</x:v>
      </x:c>
      <x:c r="F7" s="23" t="str">
        <x:v>Field amplitude</x:v>
      </x:c>
      <x:c r="G7" s="23" t="str">
        <x:v>LOCKED</x:v>
      </x:c>
    </x:row>
    <x:row r="8">
      <x:c r="A8" s="23" t="str">
        <x:v>P(x)</x:v>
      </x:c>
      <x:c r="B8" s="23" t="str">
        <x:v>Joint TPW probability</x:v>
      </x:c>
      <x:c r="C8" s="23" t="str">
        <x:v>TPW probability</x:v>
      </x:c>
      <x:c r="D8" s="23" t="str">
        <x:v>Dimensionless probability</x:v>
      </x:c>
      <x:c r="E8" s="23" t="str">
        <x:v>Product measure</x:v>
      </x:c>
      <x:c r="F8" s="23" t="str">
        <x:v>Physical pressure/potential</x:v>
      </x:c>
      <x:c r="G8" s="23" t="str">
        <x:v>LOCKED</x:v>
      </x:c>
    </x:row>
    <x:row r="9">
      <x:c r="A9" s="23" t="str">
        <x:v>S</x:v>
      </x:c>
      <x:c r="B9" s="23" t="str">
        <x:v>Raw component sum x1+x2+x3</x:v>
      </x:c>
      <x:c r="C9" s="23" t="str">
        <x:v>TPW geometry</x:v>
      </x:c>
      <x:c r="D9" s="23" t="str">
        <x:v>Dimensionless scalar</x:v>
      </x:c>
      <x:c r="E9" s="23" t="str">
        <x:v>Raw-sum normalization</x:v>
      </x:c>
      <x:c r="F9" s="23" t="str">
        <x:v>Entropy/action symbol drift</x:v>
      </x:c>
      <x:c r="G9" s="23" t="str">
        <x:v>LOCKED</x:v>
      </x:c>
    </x:row>
    <x:row r="10">
      <x:c r="A10" s="23" t="str">
        <x:v>b_i</x:v>
      </x:c>
      <x:c r="B10" s="23" t="str">
        <x:v>Raw-sum barycentric coordinate xi/S</x:v>
      </x:c>
      <x:c r="C10" s="23" t="str">
        <x:v>TPW geometry</x:v>
      </x:c>
      <x:c r="D10" s="23" t="str">
        <x:v>Dimensionless coordinate</x:v>
      </x:c>
      <x:c r="E10" s="23" t="str">
        <x:v>Simplex embedding</x:v>
      </x:c>
      <x:c r="F10" s="23" t="str">
        <x:v>Marginal probability unless stated</x:v>
      </x:c>
      <x:c r="G10" s="23" t="str">
        <x:v>LOCKED</x:v>
      </x:c>
    </x:row>
    <x:row r="11">
      <x:c r="A11" s="23" t="str">
        <x:v>q_i</x:v>
      </x:c>
      <x:c r="B11" s="23" t="str">
        <x:v>Weight-normalized coordinate W(xi)/ΣW(xj)</x:v>
      </x:c>
      <x:c r="C11" s="23" t="str">
        <x:v>TPW geometry</x:v>
      </x:c>
      <x:c r="D11" s="23" t="str">
        <x:v>Dimensionless coordinate</x:v>
      </x:c>
      <x:c r="E11" s="23" t="str">
        <x:v>Weight-compositional embedding</x:v>
      </x:c>
      <x:c r="F11" s="23" t="str">
        <x:v>Joint probability</x:v>
      </x:c>
      <x:c r="G11" s="23" t="str">
        <x:v>CONDITIONAL</x:v>
      </x:c>
    </x:row>
    <x:row r="12">
      <x:c r="A12" s="23" t="str">
        <x:v>H(b)</x:v>
      </x:c>
      <x:c r="B12" s="23" t="str">
        <x:v>Shannon entropy of a composition</x:v>
      </x:c>
      <x:c r="C12" s="23" t="str">
        <x:v>Information theory</x:v>
      </x:c>
      <x:c r="D12" s="23" t="str">
        <x:v>Bits if log2</x:v>
      </x:c>
      <x:c r="E12" s="23" t="str">
        <x:v>Entropy analysis</x:v>
      </x:c>
      <x:c r="F12" s="23" t="str">
        <x:v>Hamiltonian</x:v>
      </x:c>
      <x:c r="G12" s="23" t="str">
        <x:v>LOCKED</x:v>
      </x:c>
    </x:row>
    <x:row r="13">
      <x:c r="A13" s="23" t="str">
        <x:v>Ψ</x:v>
      </x:c>
      <x:c r="B13" s="23" t="str">
        <x:v>No locked TPW meaning</x:v>
      </x:c>
      <x:c r="C13" s="23" t="str">
        <x:v>Raphael hypothesis</x:v>
      </x:c>
      <x:c r="D13" s="23" t="str">
        <x:v>Pending</x:v>
      </x:c>
      <x:c r="E13" s="23" t="str">
        <x:v>Hypothesis register only</x:v>
      </x:c>
      <x:c r="F13" s="23" t="str">
        <x:v>Proven wavefunction/TPW probability</x:v>
      </x:c>
      <x:c r="G13" s="23" t="str">
        <x:v>UNSUPPORTED</x:v>
      </x:c>
    </x:row>
    <x:row r="14">
      <x:c r="A14" s="23" t="str">
        <x:v>Φ</x:v>
      </x:c>
      <x:c r="B14" s="23" t="str">
        <x:v>No locked TPW meaning</x:v>
      </x:c>
      <x:c r="C14" s="23" t="str">
        <x:v>Raphael hypothesis</x:v>
      </x:c>
      <x:c r="D14" s="23" t="str">
        <x:v>Pending</x:v>
      </x:c>
      <x:c r="E14" s="23" t="str">
        <x:v>Hypothesis register only</x:v>
      </x:c>
      <x:c r="F14" s="23" t="str">
        <x:v>Entropy/potential/probability</x:v>
      </x:c>
      <x:c r="G14" s="23" t="str">
        <x:v>UNSUPPORTED</x:v>
      </x:c>
    </x:row>
    <x:row r="15">
      <x:c r="A15" s="23" t="str">
        <x:v>g</x:v>
      </x:c>
      <x:c r="B15" s="23" t="str">
        <x:v>No TPW physical metric accepted</x:v>
      </x:c>
      <x:c r="C15" s="23" t="str">
        <x:v>Raphael/geometry</x:v>
      </x:c>
      <x:c r="D15" s="23" t="str">
        <x:v>Pending</x:v>
      </x:c>
      <x:c r="E15" s="23" t="str">
        <x:v>Abstract metric only if defined</x:v>
      </x:c>
      <x:c r="F15" s="23" t="str">
        <x:v>gravity/tension conflation</x:v>
      </x:c>
      <x:c r="G15" s="23" t="str">
        <x:v>UNLOCKED</x:v>
      </x:c>
    </x:row>
    <x:row r="16">
      <x:c r="A16" s="23" t="str">
        <x:v>D_μ</x:v>
      </x:c>
      <x:c r="B16" s="23" t="str">
        <x:v>No TPW covariant derivative</x:v>
      </x:c>
      <x:c r="C16" s="23" t="str">
        <x:v>Raphael/physics</x:v>
      </x:c>
      <x:c r="D16" s="23" t="str">
        <x:v>Pending</x:v>
      </x:c>
      <x:c r="E16" s="23" t="str">
        <x:v>Hypothesis only after definition</x:v>
      </x:c>
      <x:c r="F16" s="23" t="str">
        <x:v>Established operator claim without audit</x:v>
      </x:c>
      <x:c r="G16" s="23" t="str">
        <x:v>UNSUPPORTED</x:v>
      </x:c>
    </x:row>
  </x:sheetData>
  <x:mergeCells>
    <x:mergeCell ref="A1:H1"/>
  </x:mergeCells>
  <x:conditionalFormatting sqref="G4:G80">
    <x:cfRule type="expression" dxfId="0" priority="1">
      <x:formula>OR(G4="LOCKED",G4="PASS")</x:formula>
    </x:cfRule>
    <x:cfRule type="expression" dxfId="1" priority="2">
      <x:formula>OR(G4="OPEN",G4="UNPROVEN",G4="UNVALIDATED",G4="HYPOTHESIS",G4="UNSUPPORTED")</x:formula>
    </x:cfRule>
    <x:cfRule type="expression" dxfId="2" priority="3">
      <x:formula>OR(G4="NOT PROVEN",G4="NOT ACCEPTED",G4="FAIL / pending")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45e76c2eda48d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2" hidden="0" customWidth="1"/>
    <x:col min="5" max="5" width="16" hidden="0" customWidth="1"/>
    <x:col min="6" max="6" width="24" hidden="0" customWidth="1"/>
    <x:col min="7" max="7" width="20" hidden="0" customWidth="1"/>
  </x:cols>
  <x:sheetData>
    <x:row r="1" ht="24" customHeight="1">
      <x:c r="A1" s="5" t="str">
        <x:v>RAP-001 Canonical Equation Register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Eq ID</x:v>
      </x:c>
      <x:c r="B3" s="22" t="str">
        <x:v>Name</x:v>
      </x:c>
      <x:c r="C3" s="22" t="str">
        <x:v>Equation</x:v>
      </x:c>
      <x:c r="D3" s="22" t="str">
        <x:v>Variables</x:v>
      </x:c>
      <x:c r="E3" s="22" t="str">
        <x:v>Proof class</x:v>
      </x:c>
      <x:c r="F3" s="22" t="str">
        <x:v>Dimensional status</x:v>
      </x:c>
      <x:c r="G3" s="22" t="str">
        <x:v>Claim status</x:v>
      </x:c>
    </x:row>
    <x:row r="4">
      <x:c r="A4" s="23" t="str">
        <x:v>EQ-TPW-001</x:v>
      </x:c>
      <x:c r="B4" s="23" t="str">
        <x:v>One-dimensional support</x:v>
      </x:c>
      <x:c r="C4" s="23" t="str">
        <x:v>k ∈ {2,...,12}</x:v>
      </x:c>
      <x:c r="D4" s="23" t="str">
        <x:v>k</x:v>
      </x:c>
      <x:c r="E4" s="23" t="str">
        <x:v>P0</x:v>
      </x:c>
      <x:c r="F4" s="23" t="str">
        <x:v>Dimensionless integer</x:v>
      </x:c>
      <x:c r="G4" s="23" t="str">
        <x:v>LOCKED</x:v>
      </x:c>
    </x:row>
    <x:row r="5">
      <x:c r="A5" s="23" t="str">
        <x:v>EQ-TPW-002</x:v>
      </x:c>
      <x:c r="B5" s="23" t="str">
        <x:v>Dice-sum count function</x:v>
      </x:c>
      <x:c r="C5" s="23" t="str">
        <x:v>W(k)=6-|7-k|</x:v>
      </x:c>
      <x:c r="D5" s="23" t="str">
        <x:v>k,W</x:v>
      </x:c>
      <x:c r="E5" s="23" t="str">
        <x:v>P0/P1</x:v>
      </x:c>
      <x:c r="F5" s="23" t="str">
        <x:v>Count</x:v>
      </x:c>
      <x:c r="G5" s="23" t="str">
        <x:v>LOCKED</x:v>
      </x:c>
    </x:row>
    <x:row r="6">
      <x:c r="A6" s="23" t="str">
        <x:v>EQ-TPW-003</x:v>
      </x:c>
      <x:c r="B6" s="23" t="str">
        <x:v>One-dimensional PMF</x:v>
      </x:c>
      <x:c r="C6" s="23" t="str">
        <x:v>P(X_i=k)=W(k)/36</x:v>
      </x:c>
      <x:c r="D6" s="23" t="str">
        <x:v>Xi,k,W</x:v>
      </x:c>
      <x:c r="E6" s="23" t="str">
        <x:v>P1</x:v>
      </x:c>
      <x:c r="F6" s="23" t="str">
        <x:v>Dimensionless probability</x:v>
      </x:c>
      <x:c r="G6" s="23" t="str">
        <x:v>LOCKED</x:v>
      </x:c>
    </x:row>
    <x:row r="7">
      <x:c r="A7" s="23" t="str">
        <x:v>EQ-TPW-004</x:v>
      </x:c>
      <x:c r="B7" s="23" t="str">
        <x:v>Product state</x:v>
      </x:c>
      <x:c r="C7" s="23" t="str">
        <x:v>x=(x1,x2,x3) ∈ {2,...,12}^3</x:v>
      </x:c>
      <x:c r="D7" s="23" t="str">
        <x:v>x</x:v>
      </x:c>
      <x:c r="E7" s="23" t="str">
        <x:v>P0</x:v>
      </x:c>
      <x:c r="F7" s="23" t="str">
        <x:v>Dimensionless integer vector</x:v>
      </x:c>
      <x:c r="G7" s="23" t="str">
        <x:v>LOCKED</x:v>
      </x:c>
    </x:row>
    <x:row r="8">
      <x:c r="A8" s="23" t="str">
        <x:v>EQ-TPW-005</x:v>
      </x:c>
      <x:c r="B8" s="23" t="str">
        <x:v>Joint weight</x:v>
      </x:c>
      <x:c r="C8" s="23" t="str">
        <x:v>W(x)=W(x1)W(x2)W(x3)</x:v>
      </x:c>
      <x:c r="D8" s="23" t="str">
        <x:v>x,W</x:v>
      </x:c>
      <x:c r="E8" s="23" t="str">
        <x:v>P1</x:v>
      </x:c>
      <x:c r="F8" s="23" t="str">
        <x:v>Count-product</x:v>
      </x:c>
      <x:c r="G8" s="23" t="str">
        <x:v>LOCKED</x:v>
      </x:c>
    </x:row>
    <x:row r="9">
      <x:c r="A9" s="23" t="str">
        <x:v>EQ-TPW-006</x:v>
      </x:c>
      <x:c r="B9" s="23" t="str">
        <x:v>Joint probability</x:v>
      </x:c>
      <x:c r="C9" s="23" t="str">
        <x:v>P(x)=W(x)/36^3</x:v>
      </x:c>
      <x:c r="D9" s="23" t="str">
        <x:v>x,W,P</x:v>
      </x:c>
      <x:c r="E9" s="23" t="str">
        <x:v>P1/P2</x:v>
      </x:c>
      <x:c r="F9" s="23" t="str">
        <x:v>Dimensionless probability</x:v>
      </x:c>
      <x:c r="G9" s="23" t="str">
        <x:v>LOCKED</x:v>
      </x:c>
    </x:row>
    <x:row r="10">
      <x:c r="A10" s="23" t="str">
        <x:v>EQ-TPW-007</x:v>
      </x:c>
      <x:c r="B10" s="23" t="str">
        <x:v>Normalization</x:v>
      </x:c>
      <x:c r="C10" s="23" t="str">
        <x:v>Σ_x P(x)=1</x:v>
      </x:c>
      <x:c r="D10" s="23" t="str">
        <x:v>P,Ω</x:v>
      </x:c>
      <x:c r="E10" s="23" t="str">
        <x:v>P1/P2</x:v>
      </x:c>
      <x:c r="F10" s="23" t="str">
        <x:v>Dimensionless</x:v>
      </x:c>
      <x:c r="G10" s="23" t="str">
        <x:v>LOCKED</x:v>
      </x:c>
    </x:row>
    <x:row r="11">
      <x:c r="A11" s="23" t="str">
        <x:v>EQ-GEO-002</x:v>
      </x:c>
      <x:c r="B11" s="23" t="str">
        <x:v>Raw barycentric coordinate</x:v>
      </x:c>
      <x:c r="C11" s="23" t="str">
        <x:v>b_i=x_i/S</x:v>
      </x:c>
      <x:c r="D11" s="23" t="str">
        <x:v>b_i,x_i,S</x:v>
      </x:c>
      <x:c r="E11" s="23" t="str">
        <x:v>P1/P3</x:v>
      </x:c>
      <x:c r="F11" s="23" t="str">
        <x:v>Dimensionless coordinate</x:v>
      </x:c>
      <x:c r="G11" s="23" t="str">
        <x:v>LOCKED</x:v>
      </x:c>
    </x:row>
    <x:row r="12">
      <x:c r="A12" s="23" t="str">
        <x:v>EQ-ENT-001</x:v>
      </x:c>
      <x:c r="B12" s="23" t="str">
        <x:v>Composition entropy</x:v>
      </x:c>
      <x:c r="C12" s="23" t="str">
        <x:v>H(b)=-Σ_i b_i log2(b_i)</x:v>
      </x:c>
      <x:c r="D12" s="23" t="str">
        <x:v>H,b_i</x:v>
      </x:c>
      <x:c r="E12" s="23" t="str">
        <x:v>P1</x:v>
      </x:c>
      <x:c r="F12" s="23" t="str">
        <x:v>Bits</x:v>
      </x:c>
      <x:c r="G12" s="23" t="str">
        <x:v>CITATION-PENDING</x:v>
      </x:c>
    </x:row>
    <x:row r="13">
      <x:c r="A13" s="23" t="str">
        <x:v>EQ-RAP-001</x:v>
      </x:c>
      <x:c r="B13" s="23" t="str">
        <x:v>Raphael wave/state placeholder</x:v>
      </x:c>
      <x:c r="C13" s="23" t="str">
        <x:v>PENDING SOURCE TRANSCRIPTION</x:v>
      </x:c>
      <x:c r="D13" s="23" t="str">
        <x:v>Ψ</x:v>
      </x:c>
      <x:c r="E13" s="23" t="str">
        <x:v>P5</x:v>
      </x:c>
      <x:c r="F13" s="23" t="str">
        <x:v>Pending</x:v>
      </x:c>
      <x:c r="G13" s="23" t="str">
        <x:v>NOT ACCEPTED</x:v>
      </x:c>
    </x:row>
    <x:row r="14">
      <x:c r="A14" s="23" t="str">
        <x:v>EQ-RAP-002</x:v>
      </x:c>
      <x:c r="B14" s="23" t="str">
        <x:v>Raphael field placeholder</x:v>
      </x:c>
      <x:c r="C14" s="23" t="str">
        <x:v>PENDING SOURCE TRANSCRIPTION</x:v>
      </x:c>
      <x:c r="D14" s="23" t="str">
        <x:v>Φ,g,D_μ</x:v>
      </x:c>
      <x:c r="E14" s="23" t="str">
        <x:v>P5</x:v>
      </x:c>
      <x:c r="F14" s="23" t="str">
        <x:v>Pending</x:v>
      </x:c>
      <x:c r="G14" s="23" t="str">
        <x:v>NOT ACCEPTED</x:v>
      </x:c>
    </x:row>
  </x:sheetData>
  <x:mergeCells>
    <x:mergeCell ref="A1:H1"/>
  </x:mergeCells>
  <x:conditionalFormatting sqref="G4:G80">
    <x:cfRule type="expression" dxfId="3" priority="1">
      <x:formula>OR(G4="LOCKED",G4="PASS")</x:formula>
    </x:cfRule>
    <x:cfRule type="expression" dxfId="4" priority="2">
      <x:formula>OR(G4="OPEN",G4="UNPROVEN",G4="UNVALIDATED",G4="HYPOTHESIS",G4="UNSUPPORTED")</x:formula>
    </x:cfRule>
    <x:cfRule type="expression" dxfId="5" priority="3">
      <x:formula>OR(G4="NOT PROVEN",G4="NOT ACCEPTED",G4="FAIL / pending")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3255f0e8bd41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6" hidden="0" customWidth="1"/>
    <x:col min="4" max="4" width="22" hidden="0" customWidth="1"/>
    <x:col min="5" max="5" width="42" hidden="0" customWidth="1"/>
  </x:cols>
  <x:sheetData>
    <x:row r="1" ht="24" customHeight="1">
      <x:c r="A1" s="5" t="str">
        <x:v>RAP-002 Dimensional Audit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Item</x:v>
      </x:c>
      <x:c r="B3" s="22" t="str">
        <x:v>Equation / Symbol</x:v>
      </x:c>
      <x:c r="C3" s="22" t="str">
        <x:v>Dimensional class</x:v>
      </x:c>
      <x:c r="D3" s="22" t="str">
        <x:v>Audit result</x:v>
      </x:c>
      <x:c r="E3" s="22" t="str">
        <x:v>Notes</x:v>
      </x:c>
    </x:row>
    <x:row r="4">
      <x:c r="A4" s="23" t="str">
        <x:v>Xi</x:v>
      </x:c>
      <x:c r="B4" s="23" t="str">
        <x:v>Dice-sum variable</x:v>
      </x:c>
      <x:c r="C4" s="23" t="str">
        <x:v>Dimensionless integer</x:v>
      </x:c>
      <x:c r="D4" s="23" t="str">
        <x:v>PASS</x:v>
      </x:c>
      <x:c r="E4" s="23" t="str">
        <x:v>finite discrete variable</x:v>
      </x:c>
    </x:row>
    <x:row r="5">
      <x:c r="A5" s="23" t="str">
        <x:v>W(k)</x:v>
      </x:c>
      <x:c r="B5" s="23" t="str">
        <x:v>Count function</x:v>
      </x:c>
      <x:c r="C5" s="23" t="str">
        <x:v>Count</x:v>
      </x:c>
      <x:c r="D5" s="23" t="str">
        <x:v>PASS</x:v>
      </x:c>
      <x:c r="E5" s="23" t="str">
        <x:v>integer multiplicity</x:v>
      </x:c>
    </x:row>
    <x:row r="6">
      <x:c r="A6" s="23" t="str">
        <x:v>P(x)</x:v>
      </x:c>
      <x:c r="B6" s="23" t="str">
        <x:v>Joint PMF</x:v>
      </x:c>
      <x:c r="C6" s="23" t="str">
        <x:v>Dimensionless probability</x:v>
      </x:c>
      <x:c r="D6" s="23" t="str">
        <x:v>PASS</x:v>
      </x:c>
      <x:c r="E6" s="23" t="str">
        <x:v>denominator 36^3</x:v>
      </x:c>
    </x:row>
    <x:row r="7">
      <x:c r="A7" s="23" t="str">
        <x:v>b_i</x:v>
      </x:c>
      <x:c r="B7" s="23" t="str">
        <x:v>Raw barycentric coordinate</x:v>
      </x:c>
      <x:c r="C7" s="23" t="str">
        <x:v>Dimensionless ratio</x:v>
      </x:c>
      <x:c r="D7" s="23" t="str">
        <x:v>PASS</x:v>
      </x:c>
      <x:c r="E7" s="23" t="str">
        <x:v>sums to 1</x:v>
      </x:c>
    </x:row>
    <x:row r="8">
      <x:c r="A8" s="23" t="str">
        <x:v>H(b)</x:v>
      </x:c>
      <x:c r="B8" s="23" t="str">
        <x:v>Shannon entropy</x:v>
      </x:c>
      <x:c r="C8" s="23" t="str">
        <x:v>Bits with log2</x:v>
      </x:c>
      <x:c r="D8" s="23" t="str">
        <x:v>PASS / citation pending</x:v>
      </x:c>
      <x:c r="E8" s="23" t="str">
        <x:v>mathematical entropy only</x:v>
      </x:c>
    </x:row>
    <x:row r="9">
      <x:c r="A9" s="23" t="str">
        <x:v>Ψ</x:v>
      </x:c>
      <x:c r="B9" s="23" t="str">
        <x:v>Raphael wave/state symbol</x:v>
      </x:c>
      <x:c r="C9" s="23" t="str">
        <x:v>Unknown</x:v>
      </x:c>
      <x:c r="D9" s="23" t="str">
        <x:v>FAIL / pending</x:v>
      </x:c>
      <x:c r="E9" s="23" t="str">
        <x:v>no source-defined dimension in package</x:v>
      </x:c>
    </x:row>
    <x:row r="10">
      <x:c r="A10" s="23" t="str">
        <x:v>Φ</x:v>
      </x:c>
      <x:c r="B10" s="23" t="str">
        <x:v>Raphael field symbol</x:v>
      </x:c>
      <x:c r="C10" s="23" t="str">
        <x:v>Unknown</x:v>
      </x:c>
      <x:c r="D10" s="23" t="str">
        <x:v>FAIL / pending</x:v>
      </x:c>
      <x:c r="E10" s="23" t="str">
        <x:v>no source-defined dimension in package</x:v>
      </x:c>
    </x:row>
    <x:row r="11">
      <x:c r="A11" s="23" t="str">
        <x:v>g</x:v>
      </x:c>
      <x:c r="B11" s="23" t="str">
        <x:v>Metric/tension/gravity-like symbol</x:v>
      </x:c>
      <x:c r="C11" s="23" t="str">
        <x:v>Unknown</x:v>
      </x:c>
      <x:c r="D11" s="23" t="str">
        <x:v>FAIL / pending</x:v>
      </x:c>
      <x:c r="E11" s="23" t="str">
        <x:v>metric/tension conflation risk</x:v>
      </x:c>
    </x:row>
    <x:row r="12">
      <x:c r="A12" s="23" t="str">
        <x:v>D_μ</x:v>
      </x:c>
      <x:c r="B12" s="23" t="str">
        <x:v>Covariant derivative</x:v>
      </x:c>
      <x:c r="C12" s="23" t="str">
        <x:v>Unknown</x:v>
      </x:c>
      <x:c r="D12" s="23" t="str">
        <x:v>FAIL / pending</x:v>
      </x:c>
      <x:c r="E12" s="23" t="str">
        <x:v>requires manifold/connection definitions</x:v>
      </x:c>
    </x:row>
  </x:sheetData>
  <x:mergeCells>
    <x:mergeCell ref="A1:H1"/>
  </x:mergeCells>
  <x:conditionalFormatting sqref="D4:D80">
    <x:cfRule type="expression" dxfId="6" priority="1">
      <x:formula>OR(D4="LOCKED",D4="PASS")</x:formula>
    </x:cfRule>
    <x:cfRule type="expression" dxfId="7" priority="2">
      <x:formula>OR(D4="OPEN",D4="UNPROVEN",D4="UNVALIDATED",D4="HYPOTHESIS",D4="UNSUPPORTED")</x:formula>
    </x:cfRule>
    <x:cfRule type="expression" dxfId="8" priority="3">
      <x:formula>OR(D4="NOT PROVEN",D4="NOT ACCEPTED",D4="FAIL / pending")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36e45f737b4d5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24" hidden="0" customWidth="1"/>
    <x:col min="5" max="5" width="22" hidden="0" customWidth="1"/>
    <x:col min="6" max="6" width="24" hidden="0" customWidth="1"/>
    <x:col min="7" max="7" width="20" hidden="0" customWidth="1"/>
    <x:col min="8" max="8" width="16" hidden="0" customWidth="1"/>
  </x:cols>
  <x:sheetData>
    <x:row r="1" ht="24" customHeight="1">
      <x:c r="A1" s="5" t="str">
        <x:v>RAP-004 Correspondence Matrix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Construct</x:v>
      </x:c>
      <x:c r="B3" s="22" t="str">
        <x:v>Exact TPW theorem</x:v>
      </x:c>
      <x:c r="C3" s="22" t="str">
        <x:v>Derived result</x:v>
      </x:c>
      <x:c r="D3" s="22" t="str">
        <x:v>Computational verification</x:v>
      </x:c>
      <x:c r="E3" s="22" t="str">
        <x:v>Geometric visualization</x:v>
      </x:c>
      <x:c r="F3" s="22" t="str">
        <x:v>Analogy/correspondence</x:v>
      </x:c>
      <x:c r="G3" s="22" t="str">
        <x:v>Physical hypothesis</x:v>
      </x:c>
      <x:c r="H3" s="22" t="str">
        <x:v>Current class</x:v>
      </x:c>
    </x:row>
    <x:row r="4">
      <x:c r="A4" s="23" t="str">
        <x:v>TPW enumeration</x:v>
      </x:c>
      <x:c r="B4" s="23" t="str">
        <x:v>Yes</x:v>
      </x:c>
      <x:c r="C4" s="23" t="str">
        <x:v>Yes</x:v>
      </x:c>
      <x:c r="D4" s="23" t="str">
        <x:v>Yes</x:v>
      </x:c>
      <x:c r="E4" s="23" t="str">
        <x:v>No</x:v>
      </x:c>
      <x:c r="F4" s="23" t="str">
        <x:v>No</x:v>
      </x:c>
      <x:c r="G4" s="23" t="str">
        <x:v>No</x:v>
      </x:c>
      <x:c r="H4" s="23" t="str">
        <x:v>P0/P1/P2</x:v>
      </x:c>
    </x:row>
    <x:row r="5">
      <x:c r="A5" s="23" t="str">
        <x:v>Product probability</x:v>
      </x:c>
      <x:c r="B5" s="23" t="str">
        <x:v>Yes</x:v>
      </x:c>
      <x:c r="C5" s="23" t="str">
        <x:v>Yes</x:v>
      </x:c>
      <x:c r="D5" s="23" t="str">
        <x:v>Yes</x:v>
      </x:c>
      <x:c r="E5" s="23" t="str">
        <x:v>No</x:v>
      </x:c>
      <x:c r="F5" s="23" t="str">
        <x:v>No</x:v>
      </x:c>
      <x:c r="G5" s="23" t="str">
        <x:v>No</x:v>
      </x:c>
      <x:c r="H5" s="23" t="str">
        <x:v>P1/P2</x:v>
      </x:c>
    </x:row>
    <x:row r="6">
      <x:c r="A6" s="23" t="str">
        <x:v>Simplex embedding</x:v>
      </x:c>
      <x:c r="B6" s="23" t="str">
        <x:v>Yes</x:v>
      </x:c>
      <x:c r="C6" s="23" t="str">
        <x:v>Yes</x:v>
      </x:c>
      <x:c r="D6" s="23" t="str">
        <x:v>Yes</x:v>
      </x:c>
      <x:c r="E6" s="23" t="str">
        <x:v>Yes</x:v>
      </x:c>
      <x:c r="F6" s="23" t="str">
        <x:v>No</x:v>
      </x:c>
      <x:c r="G6" s="23" t="str">
        <x:v>No</x:v>
      </x:c>
      <x:c r="H6" s="23" t="str">
        <x:v>P1/P2/P3</x:v>
      </x:c>
    </x:row>
    <x:row r="7">
      <x:c r="A7" s="23" t="str">
        <x:v>Entropy at simplex centroid</x:v>
      </x:c>
      <x:c r="B7" s="23" t="str">
        <x:v>Conditional</x:v>
      </x:c>
      <x:c r="C7" s="23" t="str">
        <x:v>Yes</x:v>
      </x:c>
      <x:c r="D7" s="23" t="str">
        <x:v>Possible</x:v>
      </x:c>
      <x:c r="E7" s="23" t="str">
        <x:v>Yes</x:v>
      </x:c>
      <x:c r="F7" s="23" t="str">
        <x:v>No</x:v>
      </x:c>
      <x:c r="G7" s="23" t="str">
        <x:v>No</x:v>
      </x:c>
      <x:c r="H7" s="23" t="str">
        <x:v>P1/P3</x:v>
      </x:c>
    </x:row>
    <x:row r="8">
      <x:c r="A8" s="23" t="str">
        <x:v>TPW modal state as entropy attractor</x:v>
      </x:c>
      <x:c r="B8" s="23" t="str">
        <x:v>No</x:v>
      </x:c>
      <x:c r="C8" s="23" t="str">
        <x:v>No</x:v>
      </x:c>
      <x:c r="D8" s="23" t="str">
        <x:v>No</x:v>
      </x:c>
      <x:c r="E8" s="23" t="str">
        <x:v>No</x:v>
      </x:c>
      <x:c r="F8" s="23" t="str">
        <x:v>No</x:v>
      </x:c>
      <x:c r="G8" s="23" t="str">
        <x:v>Yes</x:v>
      </x:c>
      <x:c r="H8" s="23" t="str">
        <x:v>P5</x:v>
      </x:c>
    </x:row>
    <x:row r="9">
      <x:c r="A9" s="23" t="str">
        <x:v>Gravity-well surface</x:v>
      </x:c>
      <x:c r="B9" s="23" t="str">
        <x:v>No</x:v>
      </x:c>
      <x:c r="C9" s="23" t="str">
        <x:v>No</x:v>
      </x:c>
      <x:c r="D9" s="23" t="str">
        <x:v>Yes as log-density plot</x:v>
      </x:c>
      <x:c r="E9" s="23" t="str">
        <x:v>Yes</x:v>
      </x:c>
      <x:c r="F9" s="23" t="str">
        <x:v>Yes</x:v>
      </x:c>
      <x:c r="G9" s="23" t="str">
        <x:v>No as proof</x:v>
      </x:c>
      <x:c r="H9" s="23" t="str">
        <x:v>P3/P4</x:v>
      </x:c>
    </x:row>
    <x:row r="10">
      <x:c r="A10" s="23" t="str">
        <x:v>Physical gravity equivalence</x:v>
      </x:c>
      <x:c r="B10" s="23" t="str">
        <x:v>No</x:v>
      </x:c>
      <x:c r="C10" s="23" t="str">
        <x:v>No</x:v>
      </x:c>
      <x:c r="D10" s="23" t="str">
        <x:v>No</x:v>
      </x:c>
      <x:c r="E10" s="23" t="str">
        <x:v>No</x:v>
      </x:c>
      <x:c r="F10" s="23" t="str">
        <x:v>Weak analogy</x:v>
      </x:c>
      <x:c r="G10" s="23" t="str">
        <x:v>Yes</x:v>
      </x:c>
      <x:c r="H10" s="23" t="str">
        <x:v>P5</x:v>
      </x:c>
    </x:row>
    <x:row r="11">
      <x:c r="A11" s="23" t="str">
        <x:v>Spiral traversal</x:v>
      </x:c>
      <x:c r="B11" s="23" t="str">
        <x:v>No</x:v>
      </x:c>
      <x:c r="C11" s="23" t="str">
        <x:v>No</x:v>
      </x:c>
      <x:c r="D11" s="23" t="str">
        <x:v>Yes as imposed ordering</x:v>
      </x:c>
      <x:c r="E11" s="23" t="str">
        <x:v>Yes</x:v>
      </x:c>
      <x:c r="F11" s="23" t="str">
        <x:v>No</x:v>
      </x:c>
      <x:c r="G11" s="23" t="str">
        <x:v>No</x:v>
      </x:c>
      <x:c r="H11" s="23" t="str">
        <x:v>P3</x:v>
      </x:c>
    </x:row>
    <x:row r="12">
      <x:c r="A12" s="23" t="str">
        <x:v>Pilot-wave forecasting</x:v>
      </x:c>
      <x:c r="B12" s="23" t="str">
        <x:v>No</x:v>
      </x:c>
      <x:c r="C12" s="23" t="str">
        <x:v>No</x:v>
      </x:c>
      <x:c r="D12" s="23" t="str">
        <x:v>No benchmark</x:v>
      </x:c>
      <x:c r="E12" s="23" t="str">
        <x:v>No</x:v>
      </x:c>
      <x:c r="F12" s="23" t="str">
        <x:v>No</x:v>
      </x:c>
      <x:c r="G12" s="23" t="str">
        <x:v>Yes</x:v>
      </x:c>
      <x:c r="H12" s="23" t="str">
        <x:v>P5</x:v>
      </x:c>
    </x:row>
    <x:row r="13">
      <x:c r="A13" s="23" t="str">
        <x:v>Scale-free isomorphism</x:v>
      </x:c>
      <x:c r="B13" s="23" t="str">
        <x:v>No</x:v>
      </x:c>
      <x:c r="C13" s="23" t="str">
        <x:v>No</x:v>
      </x:c>
      <x:c r="D13" s="23" t="str">
        <x:v>No</x:v>
      </x:c>
      <x:c r="E13" s="23" t="str">
        <x:v>No</x:v>
      </x:c>
      <x:c r="F13" s="23" t="str">
        <x:v>Structural resemblance</x:v>
      </x:c>
      <x:c r="G13" s="23" t="str">
        <x:v>Yes</x:v>
      </x:c>
      <x:c r="H13" s="23" t="str">
        <x:v>P5</x:v>
      </x:c>
    </x:row>
    <x:row r="14">
      <x:c r="A14" s="23" t="str">
        <x:v>MMB / non-locality</x:v>
      </x:c>
      <x:c r="B14" s="23" t="str">
        <x:v>No</x:v>
      </x:c>
      <x:c r="C14" s="23" t="str">
        <x:v>No</x:v>
      </x:c>
      <x:c r="D14" s="23" t="str">
        <x:v>No</x:v>
      </x:c>
      <x:c r="E14" s="23" t="str">
        <x:v>Possible</x:v>
      </x:c>
      <x:c r="F14" s="23" t="str">
        <x:v>Yes</x:v>
      </x:c>
      <x:c r="G14" s="23" t="str">
        <x:v>Yes</x:v>
      </x:c>
      <x:c r="H14" s="23" t="str">
        <x:v>P5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edf3ae0dc7b942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42" hidden="0" customWidth="1"/>
    <x:col min="5" max="5" width="20" hidden="0" customWidth="1"/>
    <x:col min="6" max="6" width="16" hidden="0" customWidth="1"/>
  </x:cols>
  <x:sheetData>
    <x:row r="1" ht="24" customHeight="1">
      <x:c r="A1" s="5" t="str">
        <x:v>NBT-001 Falsification Register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ID</x:v>
      </x:c>
      <x:c r="B3" s="22" t="str">
        <x:v>Claim</x:v>
      </x:c>
      <x:c r="C3" s="22" t="str">
        <x:v>Class</x:v>
      </x:c>
      <x:c r="D3" s="22" t="str">
        <x:v>Falsification condition</x:v>
      </x:c>
      <x:c r="E3" s="22" t="str">
        <x:v>Status</x:v>
      </x:c>
      <x:c r="F3" s="22" t="str">
        <x:v>Confidence</x:v>
      </x:c>
    </x:row>
    <x:row r="4">
      <x:c r="A4" s="23" t="str">
        <x:v>TPW-ENUM-001</x:v>
      </x:c>
      <x:c r="B4" s="23" t="str">
        <x:v>TPW contains exactly 1331 sum-state triples</x:v>
      </x:c>
      <x:c r="C4" s="23" t="str">
        <x:v>P0/P2</x:v>
      </x:c>
      <x:c r="D4" s="23" t="str">
        <x:v>Enumeration not equal to 11^3</x:v>
      </x:c>
      <x:c r="E4" s="23" t="str">
        <x:v>PASS</x:v>
      </x:c>
      <x:c r="F4" s="23" t="str">
        <x:v>High</x:v>
      </x:c>
    </x:row>
    <x:row r="5">
      <x:c r="A5" s="23" t="str">
        <x:v>TPW-PROB-001</x:v>
      </x:c>
      <x:c r="B5" s="23" t="str">
        <x:v>Product probabilities sum to 1</x:v>
      </x:c>
      <x:c r="C5" s="23" t="str">
        <x:v>P1/P2</x:v>
      </x:c>
      <x:c r="D5" s="23" t="str">
        <x:v>Probability sum differs from 1</x:v>
      </x:c>
      <x:c r="E5" s="23" t="str">
        <x:v>PASS</x:v>
      </x:c>
      <x:c r="F5" s="23" t="str">
        <x:v>High</x:v>
      </x:c>
    </x:row>
    <x:row r="6">
      <x:c r="A6" s="23" t="str">
        <x:v>TPW-PROB-002</x:v>
      </x:c>
      <x:c r="B6" s="23" t="str">
        <x:v>(7,7,7) is unique maximum state</x:v>
      </x:c>
      <x:c r="C6" s="23" t="str">
        <x:v>P1/P2</x:v>
      </x:c>
      <x:c r="D6" s="23" t="str">
        <x:v>Any other state has probability ≥ 1/216</x:v>
      </x:c>
      <x:c r="E6" s="23" t="str">
        <x:v>PASS</x:v>
      </x:c>
      <x:c r="F6" s="23" t="str">
        <x:v>High</x:v>
      </x:c>
    </x:row>
    <x:row r="7">
      <x:c r="A7" s="23" t="str">
        <x:v>TPW-GEO-003</x:v>
      </x:c>
      <x:c r="B7" s="23" t="str">
        <x:v>Simplex mapping is non-injective</x:v>
      </x:c>
      <x:c r="C7" s="23" t="str">
        <x:v>P1/P2/P3</x:v>
      </x:c>
      <x:c r="D7" s="23" t="str">
        <x:v>Every raw triple maps uniquely</x:v>
      </x:c>
      <x:c r="E7" s="23" t="str">
        <x:v>PASS</x:v>
      </x:c>
      <x:c r="F7" s="23" t="str">
        <x:v>High</x:v>
      </x:c>
    </x:row>
    <x:row r="8">
      <x:c r="A8" s="23" t="str">
        <x:v>RAP-ENT-001</x:v>
      </x:c>
      <x:c r="B8" s="23" t="str">
        <x:v>TPW hub equals unique entropy attractor</x:v>
      </x:c>
      <x:c r="C8" s="23" t="str">
        <x:v>P5</x:v>
      </x:c>
      <x:c r="D8" s="23" t="str">
        <x:v>Modal/entropy proof fails</x:v>
      </x:c>
      <x:c r="E8" s="23" t="str">
        <x:v>OPEN</x:v>
      </x:c>
      <x:c r="F8" s="23" t="str">
        <x:v>Low</x:v>
      </x:c>
    </x:row>
    <x:row r="9">
      <x:c r="A9" s="23" t="str">
        <x:v>RAP-GRAV-001</x:v>
      </x:c>
      <x:c r="B9" s="23" t="str">
        <x:v>TPW physically equivalent to gravity</x:v>
      </x:c>
      <x:c r="C9" s="23" t="str">
        <x:v>P4/P5</x:v>
      </x:c>
      <x:c r="D9" s="23" t="str">
        <x:v>No energy/field derivation exists</x:v>
      </x:c>
      <x:c r="E9" s="23" t="str">
        <x:v>ANALOGY ONLY</x:v>
      </x:c>
      <x:c r="F9" s="23" t="str">
        <x:v>Low</x:v>
      </x:c>
    </x:row>
    <x:row r="10">
      <x:c r="A10" s="23" t="str">
        <x:v>RAP-SPIRAL-001</x:v>
      </x:c>
      <x:c r="B10" s="23" t="str">
        <x:v>Spiral traversal is intrinsic</x:v>
      </x:c>
      <x:c r="C10" s="23" t="str">
        <x:v>P3/P5</x:v>
      </x:c>
      <x:c r="D10" s="23" t="str">
        <x:v>Only appears after imposed ordering</x:v>
      </x:c>
      <x:c r="E10" s="23" t="str">
        <x:v>VISUALIZATION ONLY</x:v>
      </x:c>
      <x:c r="F10" s="23" t="str">
        <x:v>Low</x:v>
      </x:c>
    </x:row>
    <x:row r="11">
      <x:c r="A11" s="23" t="str">
        <x:v>RAP-PILOT-001</x:v>
      </x:c>
      <x:c r="B11" s="23" t="str">
        <x:v>Pilot-wave forecasting is predictive</x:v>
      </x:c>
      <x:c r="C11" s="23" t="str">
        <x:v>P5</x:v>
      </x:c>
      <x:c r="D11" s="23" t="str">
        <x:v>Out-of-sample test fails benchmark</x:v>
      </x:c>
      <x:c r="E11" s="23" t="str">
        <x:v>UNVALIDATED</x:v>
      </x:c>
      <x:c r="F11" s="23" t="str">
        <x:v>Low</x:v>
      </x:c>
    </x:row>
    <x:row r="12">
      <x:c r="A12" s="23" t="str">
        <x:v>RAP-SCALE-001</x:v>
      </x:c>
      <x:c r="B12" s="23" t="str">
        <x:v>Scale-free isomorphism is proven</x:v>
      </x:c>
      <x:c r="C12" s="23" t="str">
        <x:v>P5</x:v>
      </x:c>
      <x:c r="D12" s="23" t="str">
        <x:v>No bijection/operator preservation</x:v>
      </x:c>
      <x:c r="E12" s="23" t="str">
        <x:v>UNPROVEN</x:v>
      </x:c>
      <x:c r="F12" s="23" t="str">
        <x:v>Low</x:v>
      </x:c>
    </x:row>
  </x:sheetData>
  <x:mergeCells>
    <x:mergeCell ref="A1:H1"/>
  </x:mergeCells>
  <x:conditionalFormatting sqref="E4:E80">
    <x:cfRule type="expression" dxfId="9" priority="1">
      <x:formula>OR(E4="LOCKED",E4="PASS")</x:formula>
    </x:cfRule>
    <x:cfRule type="expression" dxfId="10" priority="2">
      <x:formula>OR(E4="OPEN",E4="UNPROVEN",E4="UNVALIDATED",E4="HYPOTHESIS",E4="UNSUPPORTED")</x:formula>
    </x:cfRule>
    <x:cfRule type="expression" dxfId="11" priority="3">
      <x:formula>OR(E4="NOT PROVEN",E4="NOT ACCEPTED",E4="FAIL / pending")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6840476e7b04dc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14" hidden="0" customWidth="1"/>
    <x:col min="5" max="5" width="36" hidden="0" customWidth="1"/>
    <x:col min="6" max="6" width="36" hidden="0" customWidth="1"/>
    <x:col min="7" max="7" width="16" hidden="0" customWidth="1"/>
  </x:cols>
  <x:sheetData>
    <x:row r="1" ht="24" customHeight="1">
      <x:c r="A1" s="5" t="str">
        <x:v>NBT-004 Claim Evidence Matrix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Claim ID</x:v>
      </x:c>
      <x:c r="B3" s="22" t="str">
        <x:v>Claim</x:v>
      </x:c>
      <x:c r="C3" s="22" t="str">
        <x:v>Status</x:v>
      </x:c>
      <x:c r="D3" s="22" t="str">
        <x:v>Proof class</x:v>
      </x:c>
      <x:c r="E3" s="22" t="str">
        <x:v>Primary evidence</x:v>
      </x:c>
      <x:c r="F3" s="22" t="str">
        <x:v>Citation status</x:v>
      </x:c>
      <x:c r="G3" s="22" t="str">
        <x:v>Confidence</x:v>
      </x:c>
    </x:row>
    <x:row r="4">
      <x:c r="A4" s="23" t="str">
        <x:v>TPW-ENUM-001</x:v>
      </x:c>
      <x:c r="B4" s="23" t="str">
        <x:v>TPW sum-state space has 1331 states</x:v>
      </x:c>
      <x:c r="C4" s="23" t="str">
        <x:v>LOCKED</x:v>
      </x:c>
      <x:c r="D4" s="23" t="str">
        <x:v>P0/P2</x:v>
      </x:c>
      <x:c r="E4" s="23" t="str">
        <x:v>Master enumeration; validation report</x:v>
      </x:c>
      <x:c r="F4" s="23" t="str">
        <x:v>Page mapping pending</x:v>
      </x:c>
      <x:c r="G4" s="23" t="str">
        <x:v>High</x:v>
      </x:c>
    </x:row>
    <x:row r="5">
      <x:c r="A5" s="23" t="str">
        <x:v>TPW-PROB-001</x:v>
      </x:c>
      <x:c r="B5" s="23" t="str">
        <x:v>Joint probability is n(a)n(b)n(c)/36^3</x:v>
      </x:c>
      <x:c r="C5" s="23" t="str">
        <x:v>LOCKED</x:v>
      </x:c>
      <x:c r="D5" s="23" t="str">
        <x:v>P1/P2</x:v>
      </x:c>
      <x:c r="E5" s="23" t="str">
        <x:v>Proof pack; validation report</x:v>
      </x:c>
      <x:c r="F5" s="23" t="str">
        <x:v>Page mapping pending</x:v>
      </x:c>
      <x:c r="G5" s="23" t="str">
        <x:v>High</x:v>
      </x:c>
    </x:row>
    <x:row r="6">
      <x:c r="A6" s="23" t="str">
        <x:v>TPW-GEO-001</x:v>
      </x:c>
      <x:c r="B6" s="23" t="str">
        <x:v>Raw normalized triples lie in closed 2-simplex</x:v>
      </x:c>
      <x:c r="C6" s="23" t="str">
        <x:v>LOCKED</x:v>
      </x:c>
      <x:c r="D6" s="23" t="str">
        <x:v>P1/P2/P3</x:v>
      </x:c>
      <x:c r="E6" s="23" t="str">
        <x:v>Closure formula</x:v>
      </x:c>
      <x:c r="F6" s="23" t="str">
        <x:v>Coxeter/Aitchison pending</x:v>
      </x:c>
      <x:c r="G6" s="23" t="str">
        <x:v>High</x:v>
      </x:c>
    </x:row>
    <x:row r="7">
      <x:c r="A7" s="23" t="str">
        <x:v>RAP-ENT-001</x:v>
      </x:c>
      <x:c r="B7" s="23" t="str">
        <x:v>Entropy maximized at uniform composition under constraint</x:v>
      </x:c>
      <x:c r="C7" s="23" t="str">
        <x:v>DERIVED / CITATION-PENDING</x:v>
      </x:c>
      <x:c r="D7" s="23" t="str">
        <x:v>P1</x:v>
      </x:c>
      <x:c r="E7" s="23" t="str">
        <x:v>APP-H</x:v>
      </x:c>
      <x:c r="F7" s="23" t="str">
        <x:v>Shannon/Cover/Jaynes pending</x:v>
      </x:c>
      <x:c r="G7" s="23" t="str">
        <x:v>Medium-high</x:v>
      </x:c>
    </x:row>
    <x:row r="8">
      <x:c r="A8" s="23" t="str">
        <x:v>RAP-ENT-002</x:v>
      </x:c>
      <x:c r="B8" s="23" t="str">
        <x:v>TPW modal state is unique entropy attractor</x:v>
      </x:c>
      <x:c r="C8" s="23" t="str">
        <x:v>OPEN</x:v>
      </x:c>
      <x:c r="D8" s="23" t="str">
        <x:v>P5</x:v>
      </x:c>
      <x:c r="E8" s="23" t="str">
        <x:v>Not proven</x:v>
      </x:c>
      <x:c r="F8" s="23" t="str">
        <x:v>No support</x:v>
      </x:c>
      <x:c r="G8" s="23" t="str">
        <x:v>Low</x:v>
      </x:c>
    </x:row>
    <x:row r="9">
      <x:c r="A9" s="23" t="str">
        <x:v>RAP-GRAV-001</x:v>
      </x:c>
      <x:c r="B9" s="23" t="str">
        <x:v>TPW resembles gravity well under log-density</x:v>
      </x:c>
      <x:c r="C9" s="23" t="str">
        <x:v>CONTROLLED ANALOGY</x:v>
      </x:c>
      <x:c r="D9" s="23" t="str">
        <x:v>P3/P4</x:v>
      </x:c>
      <x:c r="E9" s="23" t="str">
        <x:v>Visuals/log-density</x:v>
      </x:c>
      <x:c r="F9" s="23" t="str">
        <x:v>Background pending</x:v>
      </x:c>
      <x:c r="G9" s="23" t="str">
        <x:v>Medium</x:v>
      </x:c>
    </x:row>
    <x:row r="10">
      <x:c r="A10" s="23" t="str">
        <x:v>RAP-GRAV-002</x:v>
      </x:c>
      <x:c r="B10" s="23" t="str">
        <x:v>TPW physically equivalent to gravity</x:v>
      </x:c>
      <x:c r="C10" s="23" t="str">
        <x:v>NOT PROVEN</x:v>
      </x:c>
      <x:c r="D10" s="23" t="str">
        <x:v>P5</x:v>
      </x:c>
      <x:c r="E10" s="23" t="str">
        <x:v>No field derivation</x:v>
      </x:c>
      <x:c r="F10" s="23" t="str">
        <x:v>Not supported</x:v>
      </x:c>
      <x:c r="G10" s="23" t="str">
        <x:v>Low</x:v>
      </x:c>
    </x:row>
    <x:row r="11">
      <x:c r="A11" s="23" t="str">
        <x:v>RAP-SCALE-001</x:v>
      </x:c>
      <x:c r="B11" s="23" t="str">
        <x:v>Scale-free isomorphism is proven</x:v>
      </x:c>
      <x:c r="C11" s="23" t="str">
        <x:v>UNPROVEN</x:v>
      </x:c>
      <x:c r="D11" s="23" t="str">
        <x:v>P5</x:v>
      </x:c>
      <x:c r="E11" s="23" t="str">
        <x:v>Missing bijection/operator preservation</x:v>
      </x:c>
      <x:c r="F11" s="23" t="str">
        <x:v>Not supported</x:v>
      </x:c>
      <x:c r="G11" s="23" t="str">
        <x:v>Low</x:v>
      </x:c>
    </x:row>
  </x:sheetData>
  <x:mergeCells>
    <x:mergeCell ref="A1:H1"/>
  </x:mergeCells>
  <x:conditionalFormatting sqref="C4:C80">
    <x:cfRule type="expression" dxfId="12" priority="1">
      <x:formula>OR(C4="LOCKED",C4="PASS")</x:formula>
    </x:cfRule>
    <x:cfRule type="expression" dxfId="13" priority="2">
      <x:formula>OR(C4="OPEN",C4="UNPROVEN",C4="UNVALIDATED",C4="HYPOTHESIS",C4="UNSUPPORTED")</x:formula>
    </x:cfRule>
    <x:cfRule type="expression" dxfId="14" priority="3">
      <x:formula>OR(C4="NOT PROVEN",C4="NOT ACCEPTED",C4="FAIL / pending")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95eb85b0714b7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34" hidden="0" customWidth="1"/>
    <x:col min="4" max="4" width="24" hidden="0" customWidth="1"/>
    <x:col min="5" max="5" width="32" hidden="0" customWidth="1"/>
    <x:col min="6" max="6" width="22" hidden="0" customWidth="1"/>
  </x:cols>
  <x:sheetData>
    <x:row r="1" ht="24" customHeight="1">
      <x:c r="A1" s="5" t="str">
        <x:v>NBT-002 Citation Register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Citation ID</x:v>
      </x:c>
      <x:c r="B3" s="22" t="str">
        <x:v>Source / Author</x:v>
      </x:c>
      <x:c r="C3" s="22" t="str">
        <x:v>Supports</x:v>
      </x:c>
      <x:c r="D3" s="22" t="str">
        <x:v>Claim IDs</x:v>
      </x:c>
      <x:c r="E3" s="22" t="str">
        <x:v>Page / Section status</x:v>
      </x:c>
      <x:c r="F3" s="22" t="str">
        <x:v>Verification status</x:v>
      </x:c>
    </x:row>
    <x:row r="4">
      <x:c r="A4" s="23" t="str">
        <x:v>CIT-FELLER-001</x:v>
      </x:c>
      <x:c r="B4" s="23" t="str">
        <x:v>William Feller</x:v>
      </x:c>
      <x:c r="C4" s="23" t="str">
        <x:v>finite probability, dice distributions</x:v>
      </x:c>
      <x:c r="D4" s="23" t="str">
        <x:v>TPW-ENUM, TPW-PROB</x:v>
      </x:c>
      <x:c r="E4" s="23" t="str">
        <x:v>PENDING exact edition/page</x:v>
      </x:c>
      <x:c r="F4" s="23" t="str">
        <x:v>OPEN</x:v>
      </x:c>
    </x:row>
    <x:row r="5">
      <x:c r="A5" s="23" t="str">
        <x:v>CIT-AITCHISON-001</x:v>
      </x:c>
      <x:c r="B5" s="23" t="str">
        <x:v>John Aitchison</x:v>
      </x:c>
      <x:c r="C5" s="23" t="str">
        <x:v>compositional/simplex interpretation</x:v>
      </x:c>
      <x:c r="D5" s="23" t="str">
        <x:v>TPW-GEO</x:v>
      </x:c>
      <x:c r="E5" s="23" t="str">
        <x:v>PENDING exact edition/page</x:v>
      </x:c>
      <x:c r="F5" s="23" t="str">
        <x:v>OPEN</x:v>
      </x:c>
    </x:row>
    <x:row r="6">
      <x:c r="A6" s="23" t="str">
        <x:v>CIT-COXETER-001</x:v>
      </x:c>
      <x:c r="B6" s="23" t="str">
        <x:v>H. S. M. Coxeter</x:v>
      </x:c>
      <x:c r="C6" s="23" t="str">
        <x:v>barycentric/simplex geometry</x:v>
      </x:c>
      <x:c r="D6" s="23" t="str">
        <x:v>TPW-GEO</x:v>
      </x:c>
      <x:c r="E6" s="23" t="str">
        <x:v>PENDING exact edition/page</x:v>
      </x:c>
      <x:c r="F6" s="23" t="str">
        <x:v>OPEN</x:v>
      </x:c>
    </x:row>
    <x:row r="7">
      <x:c r="A7" s="23" t="str">
        <x:v>CIT-SHANNON-001</x:v>
      </x:c>
      <x:c r="B7" s="23" t="str">
        <x:v>Claude Shannon</x:v>
      </x:c>
      <x:c r="C7" s="23" t="str">
        <x:v>entropy functional</x:v>
      </x:c>
      <x:c r="D7" s="23" t="str">
        <x:v>RAP-ENT</x:v>
      </x:c>
      <x:c r="E7" s="23" t="str">
        <x:v>PENDING exact paper/section</x:v>
      </x:c>
      <x:c r="F7" s="23" t="str">
        <x:v>OPEN</x:v>
      </x:c>
    </x:row>
    <x:row r="8">
      <x:c r="A8" s="23" t="str">
        <x:v>CIT-COVER-THOMAS-001</x:v>
      </x:c>
      <x:c r="B8" s="23" t="str">
        <x:v>Cover &amp; Thomas</x:v>
      </x:c>
      <x:c r="C8" s="23" t="str">
        <x:v>entropy theorem</x:v>
      </x:c>
      <x:c r="D8" s="23" t="str">
        <x:v>RAP-ENT</x:v>
      </x:c>
      <x:c r="E8" s="23" t="str">
        <x:v>PENDING exact edition/page</x:v>
      </x:c>
      <x:c r="F8" s="23" t="str">
        <x:v>OPEN</x:v>
      </x:c>
    </x:row>
    <x:row r="9">
      <x:c r="A9" s="23" t="str">
        <x:v>CIT-JAYNES-001</x:v>
      </x:c>
      <x:c r="B9" s="23" t="str">
        <x:v>E. T. Jaynes</x:v>
      </x:c>
      <x:c r="C9" s="23" t="str">
        <x:v>maximum entropy reasoning</x:v>
      </x:c>
      <x:c r="D9" s="23" t="str">
        <x:v>RAP-ENT</x:v>
      </x:c>
      <x:c r="E9" s="23" t="str">
        <x:v>PENDING exact edition/page</x:v>
      </x:c>
      <x:c r="F9" s="23" t="str">
        <x:v>OPEN</x:v>
      </x:c>
    </x:row>
    <x:row r="10">
      <x:c r="A10" s="23" t="str">
        <x:v>CIT-BUCKINGHAM-001</x:v>
      </x:c>
      <x:c r="B10" s="23" t="str">
        <x:v>Buckingham / dimensional analysis</x:v>
      </x:c>
      <x:c r="C10" s="23" t="str">
        <x:v>dimensional audit method</x:v>
      </x:c>
      <x:c r="D10" s="23" t="str">
        <x:v>RAP-002</x:v>
      </x:c>
      <x:c r="E10" s="23" t="str">
        <x:v>PENDING exact source/page</x:v>
      </x:c>
      <x:c r="F10" s="23" t="str">
        <x:v>OPEN</x:v>
      </x:c>
    </x:row>
    <x:row r="11">
      <x:c r="A11" s="23" t="str">
        <x:v>CIT-GOLDSTEIN-001</x:v>
      </x:c>
      <x:c r="B11" s="23" t="str">
        <x:v>Herbert Goldstein</x:v>
      </x:c>
      <x:c r="C11" s="23" t="str">
        <x:v>mechanics background only</x:v>
      </x:c>
      <x:c r="D11" s="23" t="str">
        <x:v>RAP-NBODY/RAP-GRAV</x:v>
      </x:c>
      <x:c r="E11" s="23" t="str">
        <x:v>PENDING exact edition/page</x:v>
      </x:c>
      <x:c r="F11" s="23" t="str">
        <x:v>BACKGROUND ONLY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3acc047b1e6417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8" hidden="0" customWidth="1"/>
    <x:col min="4" max="4" width="70" hidden="0" customWidth="1"/>
  </x:cols>
  <x:sheetData>
    <x:row r="1" ht="24" customHeight="1">
      <x:c r="A1" s="5" t="str">
        <x:v>Manual / Handoff Gap Register</x:v>
      </x:c>
      <x:c r="B1" s="5"/>
      <x:c r="C1" s="5"/>
      <x:c r="D1" s="5"/>
      <x:c r="E1" s="5"/>
      <x:c r="F1" s="5"/>
      <x:c r="G1" s="5"/>
      <x:c r="H1" s="5"/>
    </x:row>
    <x:row r="3">
      <x:c r="A3" s="22" t="str">
        <x:v>Gap</x:v>
      </x:c>
      <x:c r="B3" s="22" t="str">
        <x:v>Status</x:v>
      </x:c>
      <x:c r="C3" s="22" t="str">
        <x:v>Priority</x:v>
      </x:c>
      <x:c r="D3" s="22" t="str">
        <x:v>Manual or next proof action</x:v>
      </x:c>
    </x:row>
    <x:row r="4">
      <x:c r="A4" s="23" t="str">
        <x:v>Entropy Hub Theorem</x:v>
      </x:c>
      <x:c r="B4" s="23" t="str">
        <x:v>OPEN</x:v>
      </x:c>
      <x:c r="C4" s="23" t="str">
        <x:v>Critical</x:v>
      </x:c>
      <x:c r="D4" s="23" t="str">
        <x:v>Need constrained simplex proof, uniqueness proof, boundary analysis</x:v>
      </x:c>
    </x:row>
    <x:row r="5">
      <x:c r="A5" s="23" t="str">
        <x:v>Scale-Free Isomorphism</x:v>
      </x:c>
      <x:c r="B5" s="23" t="str">
        <x:v>UNPROVEN</x:v>
      </x:c>
      <x:c r="C5" s="23" t="str">
        <x:v>Critical</x:v>
      </x:c>
      <x:c r="D5" s="23" t="str">
        <x:v>Need bijection, operator preservation, invariant preservation, closure</x:v>
      </x:c>
    </x:row>
    <x:row r="6">
      <x:c r="A6" s="23" t="str">
        <x:v>Gravity-Well Physical Equivalence</x:v>
      </x:c>
      <x:c r="B6" s="23" t="str">
        <x:v>ANALOGY ONLY</x:v>
      </x:c>
      <x:c r="C6" s="23" t="str">
        <x:v>High</x:v>
      </x:c>
      <x:c r="D6" s="23" t="str">
        <x:v>Need energy functional, field equation, conservation law</x:v>
      </x:c>
    </x:row>
    <x:row r="7">
      <x:c r="A7" s="23" t="str">
        <x:v>Spiral Necessity</x:v>
      </x:c>
      <x:c r="B7" s="23" t="str">
        <x:v>VISUALIZATION ONLY</x:v>
      </x:c>
      <x:c r="C7" s="23" t="str">
        <x:v>Medium</x:v>
      </x:c>
      <x:c r="D7" s="23" t="str">
        <x:v>Need intrinsic ordering/necessity theorem</x:v>
      </x:c>
    </x:row>
    <x:row r="8">
      <x:c r="A8" s="23" t="str">
        <x:v>Pilot-Wave Forecasting</x:v>
      </x:c>
      <x:c r="B8" s="23" t="str">
        <x:v>UNVALIDATED</x:v>
      </x:c>
      <x:c r="C8" s="23" t="str">
        <x:v>High</x:v>
      </x:c>
      <x:c r="D8" s="23" t="str">
        <x:v>Need benchmark dataset, validation protocol, error metrics</x:v>
      </x:c>
    </x:row>
    <x:row r="9">
      <x:c r="A9" s="23" t="str">
        <x:v>MMB / Non-locality</x:v>
      </x:c>
      <x:c r="B9" s="23" t="str">
        <x:v>HYPOTHESIS</x:v>
      </x:c>
      <x:c r="C9" s="23" t="str">
        <x:v>High</x:v>
      </x:c>
      <x:c r="D9" s="23" t="str">
        <x:v>Need formal information-theoretic and quantum correspondence proof</x:v>
      </x:c>
    </x:row>
    <x:row r="10">
      <x:c r="A10" s="23" t="str">
        <x:v>Citation Page Lock</x:v>
      </x:c>
      <x:c r="B10" s="23" t="str">
        <x:v>OPEN</x:v>
      </x:c>
      <x:c r="C10" s="23" t="str">
        <x:v>High</x:v>
      </x:c>
      <x:c r="D10" s="23" t="str">
        <x:v>Need exact edition/page/section mapping for all cited claims</x:v>
      </x:c>
    </x:row>
    <x:row r="11">
      <x:c r="A11" s="23" t="str">
        <x:v>Google Drive/GitHub external sync</x:v>
      </x:c>
      <x:c r="B11" s="23" t="str">
        <x:v>PENDING</x:v>
      </x:c>
      <x:c r="C11" s="23" t="str">
        <x:v>Medium</x:v>
      </x:c>
      <x:c r="D11" s="23" t="str">
        <x:v>Depends on target folder/repository confirmation if auto-discovery fails</x:v>
      </x:c>
    </x:row>
  </x:sheetData>
  <x:mergeCells>
    <x:mergeCell ref="A1:H1"/>
  </x:mergeCells>
  <x:conditionalFormatting sqref="B4:B80">
    <x:cfRule type="expression" dxfId="15" priority="1">
      <x:formula>OR(B4="LOCKED",B4="PASS")</x:formula>
    </x:cfRule>
    <x:cfRule type="expression" dxfId="16" priority="2">
      <x:formula>OR(B4="OPEN",B4="UNPROVEN",B4="UNVALIDATED",B4="HYPOTHESIS",B4="UNSUPPORTED")</x:formula>
    </x:cfRule>
    <x:cfRule type="expression" dxfId="17" priority="3">
      <x:formula>OR(B4="NOT PROVEN",B4="NOT ACCEPTED",B4="FAIL / pending")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9c0f148b5341a9"/>
  </x:tableParts>
</x:worksheet>
</file>